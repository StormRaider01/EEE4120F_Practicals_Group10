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<sst xmlns="http://schemas.openxmlformats.org/spreadsheetml/2006/main" count="93" uniqueCount="23">
  <si>
    <t xml:space="preserve">Input</t>
  </si>
  <si>
    <t xml:space="preserve">Threads</t>
  </si>
  <si>
    <t xml:space="preserve">Tinit</t>
  </si>
  <si>
    <t xml:space="preserve">Tcomp</t>
  </si>
  <si>
    <t xml:space="preserve">Ttotal</t>
  </si>
  <si>
    <t xml:space="preserve">Best Cost</t>
  </si>
  <si>
    <t xml:space="preserve">Best Path</t>
  </si>
  <si>
    <t xml:space="preserve">Speedup</t>
  </si>
  <si>
    <t xml:space="preserve">Comp_Speedup</t>
  </si>
  <si>
    <t xml:space="preserve">energy4</t>
  </si>
  <si>
    <t xml:space="preserve">1 4 2 3</t>
  </si>
  <si>
    <t xml:space="preserve">energy5</t>
  </si>
  <si>
    <t xml:space="preserve">1 4 5 2 3</t>
  </si>
  <si>
    <t xml:space="preserve">energy6</t>
  </si>
  <si>
    <t xml:space="preserve">1 4 6 5 2 3</t>
  </si>
  <si>
    <t xml:space="preserve">energy7</t>
  </si>
  <si>
    <t xml:space="preserve">1 4 6 5 3 2 7</t>
  </si>
  <si>
    <t xml:space="preserve">energy8</t>
  </si>
  <si>
    <t xml:space="preserve">1 4 6 5 8 3 2 7</t>
  </si>
  <si>
    <t xml:space="preserve">energy9</t>
  </si>
  <si>
    <t xml:space="preserve">1 4 9 6 5 8 3 2 7</t>
  </si>
  <si>
    <t xml:space="preserve">energy10</t>
  </si>
  <si>
    <t xml:space="preserve">1 10 4 9 6 5 8 3 2 7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</si>
</sst>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CE6F1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5" min="3" style="0" width="14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3" t="n">
        <v>1</v>
      </c>
      <c r="C2" s="4" t="n">
        <v>0.00768666</v>
      </c>
      <c r="D2" s="4" t="n">
        <v>3.099E-005</v>
      </c>
      <c r="E2" s="4" t="n">
        <f aca="false">C2+D2</f>
        <v>0.00771765</v>
      </c>
      <c r="F2" s="3" t="n">
        <v>105</v>
      </c>
      <c r="G2" s="2" t="s">
        <v>10</v>
      </c>
      <c r="H2" s="4" t="n">
        <f aca="false">E$2/E2</f>
        <v>1</v>
      </c>
      <c r="I2" s="4" t="n">
        <f aca="false">D$2/D2</f>
        <v>1</v>
      </c>
    </row>
    <row r="3" customFormat="false" ht="15" hidden="false" customHeight="false" outlineLevel="0" collapsed="false">
      <c r="A3" s="5" t="s">
        <v>9</v>
      </c>
      <c r="B3" s="6" t="n">
        <v>2</v>
      </c>
      <c r="C3" s="7" t="n">
        <v>0.00462051</v>
      </c>
      <c r="D3" s="7" t="n">
        <v>0.00022049</v>
      </c>
      <c r="E3" s="7" t="n">
        <f aca="false">C3+D3</f>
        <v>0.004841</v>
      </c>
      <c r="F3" s="6" t="n">
        <v>105</v>
      </c>
      <c r="G3" s="5" t="s">
        <v>10</v>
      </c>
      <c r="H3" s="7" t="n">
        <f aca="false">E$2/E3</f>
        <v>1.59422639950423</v>
      </c>
      <c r="I3" s="7" t="n">
        <f aca="false">D$2/D3</f>
        <v>0.140550591863577</v>
      </c>
    </row>
    <row r="4" customFormat="false" ht="15" hidden="false" customHeight="false" outlineLevel="0" collapsed="false">
      <c r="A4" s="2" t="s">
        <v>9</v>
      </c>
      <c r="B4" s="3" t="n">
        <v>4</v>
      </c>
      <c r="C4" s="4" t="n">
        <v>0.00512199</v>
      </c>
      <c r="D4" s="4" t="n">
        <v>0.00017862</v>
      </c>
      <c r="E4" s="4" t="n">
        <f aca="false">C4+D4</f>
        <v>0.00530061</v>
      </c>
      <c r="F4" s="3" t="n">
        <v>105</v>
      </c>
      <c r="G4" s="2" t="s">
        <v>10</v>
      </c>
      <c r="H4" s="4" t="n">
        <f aca="false">E$2/E4</f>
        <v>1.45599280082858</v>
      </c>
      <c r="I4" s="4" t="n">
        <f aca="false">D$2/D4</f>
        <v>0.173496808867988</v>
      </c>
    </row>
    <row r="5" customFormat="false" ht="15" hidden="false" customHeight="false" outlineLevel="0" collapsed="false">
      <c r="A5" s="5" t="s">
        <v>9</v>
      </c>
      <c r="B5" s="6" t="n">
        <v>8</v>
      </c>
      <c r="C5" s="7" t="n">
        <v>0.00525699</v>
      </c>
      <c r="D5" s="7" t="n">
        <v>0.0003448</v>
      </c>
      <c r="E5" s="7" t="n">
        <f aca="false">C5+D5</f>
        <v>0.00560179</v>
      </c>
      <c r="F5" s="6" t="n">
        <v>105</v>
      </c>
      <c r="G5" s="5" t="s">
        <v>10</v>
      </c>
      <c r="H5" s="7" t="n">
        <f aca="false">E$2/E5</f>
        <v>1.37771141010284</v>
      </c>
      <c r="I5" s="7" t="n">
        <f aca="false">D$2/D5</f>
        <v>0.0898781902552204</v>
      </c>
    </row>
    <row r="6" customFormat="false" ht="15" hidden="false" customHeight="false" outlineLevel="0" collapsed="false">
      <c r="A6" s="2" t="s">
        <v>9</v>
      </c>
      <c r="B6" s="3" t="n">
        <v>10</v>
      </c>
      <c r="C6" s="4" t="n">
        <v>0.00556493</v>
      </c>
      <c r="D6" s="4" t="n">
        <v>0.00035944</v>
      </c>
      <c r="E6" s="4" t="n">
        <f aca="false">C6+D6</f>
        <v>0.00592437</v>
      </c>
      <c r="F6" s="3" t="n">
        <v>105</v>
      </c>
      <c r="G6" s="2" t="s">
        <v>10</v>
      </c>
      <c r="H6" s="4" t="n">
        <f aca="false">E$2/E6</f>
        <v>1.30269547648104</v>
      </c>
      <c r="I6" s="4" t="n">
        <f aca="false">D$2/D6</f>
        <v>0.08621744936568</v>
      </c>
    </row>
    <row r="7" customFormat="false" ht="15" hidden="false" customHeight="false" outlineLevel="0" collapsed="false">
      <c r="A7" s="5" t="s">
        <v>9</v>
      </c>
      <c r="B7" s="6" t="n">
        <v>12</v>
      </c>
      <c r="C7" s="7" t="n">
        <v>0.00579624</v>
      </c>
      <c r="D7" s="7" t="n">
        <v>0.00035057</v>
      </c>
      <c r="E7" s="7" t="n">
        <f aca="false">C7+D7</f>
        <v>0.00614681</v>
      </c>
      <c r="F7" s="6" t="n">
        <v>105</v>
      </c>
      <c r="G7" s="5" t="s">
        <v>10</v>
      </c>
      <c r="H7" s="7" t="n">
        <f aca="false">E$2/E7</f>
        <v>1.25555369370454</v>
      </c>
      <c r="I7" s="7" t="n">
        <f aca="false">D$2/D7</f>
        <v>0.0883988932310238</v>
      </c>
    </row>
    <row r="8" customFormat="false" ht="15" hidden="false" customHeight="false" outlineLevel="0" collapsed="false">
      <c r="A8" s="2" t="s">
        <v>11</v>
      </c>
      <c r="B8" s="3" t="n">
        <v>1</v>
      </c>
      <c r="C8" s="4" t="n">
        <v>0.00752897</v>
      </c>
      <c r="D8" s="4" t="n">
        <v>2.022E-005</v>
      </c>
      <c r="E8" s="4" t="n">
        <f aca="false">C8+D8</f>
        <v>0.00754919</v>
      </c>
      <c r="F8" s="3" t="n">
        <v>115</v>
      </c>
      <c r="G8" s="2" t="s">
        <v>12</v>
      </c>
      <c r="H8" s="4" t="n">
        <f aca="false">E$8/E8</f>
        <v>1</v>
      </c>
      <c r="I8" s="4" t="n">
        <f aca="false">D$8/D8</f>
        <v>1</v>
      </c>
    </row>
    <row r="9" customFormat="false" ht="15" hidden="false" customHeight="false" outlineLevel="0" collapsed="false">
      <c r="A9" s="5" t="s">
        <v>11</v>
      </c>
      <c r="B9" s="6" t="n">
        <v>2</v>
      </c>
      <c r="C9" s="7" t="n">
        <v>0.00456242</v>
      </c>
      <c r="D9" s="7" t="n">
        <v>0.00011883</v>
      </c>
      <c r="E9" s="7" t="n">
        <f aca="false">C9+D9</f>
        <v>0.00468125</v>
      </c>
      <c r="F9" s="6" t="n">
        <v>115</v>
      </c>
      <c r="G9" s="5" t="s">
        <v>12</v>
      </c>
      <c r="H9" s="7" t="n">
        <f aca="false">E$8/E9</f>
        <v>1.61264405874499</v>
      </c>
      <c r="I9" s="7" t="n">
        <f aca="false">D$8/D9</f>
        <v>0.170159050744761</v>
      </c>
    </row>
    <row r="10" customFormat="false" ht="15" hidden="false" customHeight="false" outlineLevel="0" collapsed="false">
      <c r="A10" s="2" t="s">
        <v>11</v>
      </c>
      <c r="B10" s="3" t="n">
        <v>4</v>
      </c>
      <c r="C10" s="4" t="n">
        <v>0.00429359</v>
      </c>
      <c r="D10" s="4" t="n">
        <v>0.00018621</v>
      </c>
      <c r="E10" s="4" t="n">
        <f aca="false">C10+D10</f>
        <v>0.0044798</v>
      </c>
      <c r="F10" s="3" t="n">
        <v>115</v>
      </c>
      <c r="G10" s="2" t="s">
        <v>12</v>
      </c>
      <c r="H10" s="4" t="n">
        <f aca="false">E$8/E10</f>
        <v>1.68516228403054</v>
      </c>
      <c r="I10" s="4" t="n">
        <f aca="false">D$8/D10</f>
        <v>0.108587079104237</v>
      </c>
    </row>
    <row r="11" customFormat="false" ht="15" hidden="false" customHeight="false" outlineLevel="0" collapsed="false">
      <c r="A11" s="5" t="s">
        <v>11</v>
      </c>
      <c r="B11" s="6" t="n">
        <v>8</v>
      </c>
      <c r="C11" s="7" t="n">
        <v>0.00556402</v>
      </c>
      <c r="D11" s="7" t="n">
        <v>0.00030093</v>
      </c>
      <c r="E11" s="7" t="n">
        <f aca="false">C11+D11</f>
        <v>0.00586495</v>
      </c>
      <c r="F11" s="6" t="n">
        <v>115</v>
      </c>
      <c r="G11" s="5" t="s">
        <v>12</v>
      </c>
      <c r="H11" s="7" t="n">
        <f aca="false">E$8/E11</f>
        <v>1.28717039360949</v>
      </c>
      <c r="I11" s="7" t="n">
        <f aca="false">D$8/D11</f>
        <v>0.0671917057122919</v>
      </c>
    </row>
    <row r="12" customFormat="false" ht="15" hidden="false" customHeight="false" outlineLevel="0" collapsed="false">
      <c r="A12" s="2" t="s">
        <v>11</v>
      </c>
      <c r="B12" s="3" t="n">
        <v>10</v>
      </c>
      <c r="C12" s="4" t="n">
        <v>0.0049458</v>
      </c>
      <c r="D12" s="4" t="n">
        <v>0.00032959</v>
      </c>
      <c r="E12" s="4" t="n">
        <f aca="false">C12+D12</f>
        <v>0.00527539</v>
      </c>
      <c r="F12" s="3" t="n">
        <v>115</v>
      </c>
      <c r="G12" s="2" t="s">
        <v>12</v>
      </c>
      <c r="H12" s="4" t="n">
        <f aca="false">E$8/E12</f>
        <v>1.43102026580025</v>
      </c>
      <c r="I12" s="4" t="n">
        <f aca="false">D$8/D12</f>
        <v>0.0613489486938317</v>
      </c>
    </row>
    <row r="13" customFormat="false" ht="15" hidden="false" customHeight="false" outlineLevel="0" collapsed="false">
      <c r="A13" s="5" t="s">
        <v>11</v>
      </c>
      <c r="B13" s="6" t="n">
        <v>12</v>
      </c>
      <c r="C13" s="7" t="n">
        <v>0.00554919</v>
      </c>
      <c r="D13" s="7" t="n">
        <v>0.00039477</v>
      </c>
      <c r="E13" s="7" t="n">
        <f aca="false">C13+D13</f>
        <v>0.00594396</v>
      </c>
      <c r="F13" s="6" t="n">
        <v>115</v>
      </c>
      <c r="G13" s="5" t="s">
        <v>12</v>
      </c>
      <c r="H13" s="7" t="n">
        <f aca="false">E$8/E13</f>
        <v>1.27006070027389</v>
      </c>
      <c r="I13" s="7" t="n">
        <f aca="false">D$8/D13</f>
        <v>0.0512196975454062</v>
      </c>
    </row>
    <row r="14" customFormat="false" ht="15" hidden="false" customHeight="false" outlineLevel="0" collapsed="false">
      <c r="A14" s="2" t="s">
        <v>13</v>
      </c>
      <c r="B14" s="3" t="n">
        <v>1</v>
      </c>
      <c r="C14" s="4" t="n">
        <v>0.00674339</v>
      </c>
      <c r="D14" s="4" t="n">
        <v>2.026E-005</v>
      </c>
      <c r="E14" s="4" t="n">
        <f aca="false">C14+D14</f>
        <v>0.00676365</v>
      </c>
      <c r="F14" s="3" t="n">
        <v>124</v>
      </c>
      <c r="G14" s="2" t="s">
        <v>14</v>
      </c>
      <c r="H14" s="4" t="n">
        <f aca="false">E$14/E14</f>
        <v>1</v>
      </c>
      <c r="I14" s="4" t="n">
        <f aca="false">D$14/D14</f>
        <v>1</v>
      </c>
    </row>
    <row r="15" customFormat="false" ht="15" hidden="false" customHeight="false" outlineLevel="0" collapsed="false">
      <c r="A15" s="5" t="s">
        <v>13</v>
      </c>
      <c r="B15" s="6" t="n">
        <v>2</v>
      </c>
      <c r="C15" s="7" t="n">
        <v>0.00436635</v>
      </c>
      <c r="D15" s="7" t="n">
        <v>0.00010109</v>
      </c>
      <c r="E15" s="7" t="n">
        <f aca="false">C15+D15</f>
        <v>0.00446744</v>
      </c>
      <c r="F15" s="6" t="n">
        <v>124</v>
      </c>
      <c r="G15" s="5" t="s">
        <v>14</v>
      </c>
      <c r="H15" s="7" t="n">
        <f aca="false">E$14/E15</f>
        <v>1.51398787672582</v>
      </c>
      <c r="I15" s="7" t="n">
        <f aca="false">D$14/D15</f>
        <v>0.200415471362153</v>
      </c>
    </row>
    <row r="16" customFormat="false" ht="15" hidden="false" customHeight="false" outlineLevel="0" collapsed="false">
      <c r="A16" s="2" t="s">
        <v>13</v>
      </c>
      <c r="B16" s="3" t="n">
        <v>4</v>
      </c>
      <c r="C16" s="4" t="n">
        <v>0.00354443</v>
      </c>
      <c r="D16" s="4" t="n">
        <v>0.00018458</v>
      </c>
      <c r="E16" s="4" t="n">
        <f aca="false">C16+D16</f>
        <v>0.00372901</v>
      </c>
      <c r="F16" s="3" t="n">
        <v>124</v>
      </c>
      <c r="G16" s="2" t="s">
        <v>14</v>
      </c>
      <c r="H16" s="4" t="n">
        <f aca="false">E$14/E16</f>
        <v>1.81379240066398</v>
      </c>
      <c r="I16" s="4" t="n">
        <f aca="false">D$14/D16</f>
        <v>0.109762704518366</v>
      </c>
    </row>
    <row r="17" customFormat="false" ht="15" hidden="false" customHeight="false" outlineLevel="0" collapsed="false">
      <c r="A17" s="5" t="s">
        <v>13</v>
      </c>
      <c r="B17" s="6" t="n">
        <v>8</v>
      </c>
      <c r="C17" s="7" t="n">
        <v>0.00576663</v>
      </c>
      <c r="D17" s="7" t="n">
        <v>0.00031576</v>
      </c>
      <c r="E17" s="7" t="n">
        <f aca="false">C17+D17</f>
        <v>0.00608239</v>
      </c>
      <c r="F17" s="6" t="n">
        <v>124</v>
      </c>
      <c r="G17" s="5" t="s">
        <v>14</v>
      </c>
      <c r="H17" s="7" t="n">
        <f aca="false">E$14/E17</f>
        <v>1.1120053137007</v>
      </c>
      <c r="I17" s="7" t="n">
        <f aca="false">D$14/D17</f>
        <v>0.0641626551811502</v>
      </c>
    </row>
    <row r="18" customFormat="false" ht="15" hidden="false" customHeight="false" outlineLevel="0" collapsed="false">
      <c r="A18" s="2" t="s">
        <v>13</v>
      </c>
      <c r="B18" s="3" t="n">
        <v>10</v>
      </c>
      <c r="C18" s="4" t="n">
        <v>0.00565681</v>
      </c>
      <c r="D18" s="4" t="n">
        <v>0.00032578</v>
      </c>
      <c r="E18" s="4" t="n">
        <f aca="false">C18+D18</f>
        <v>0.00598259</v>
      </c>
      <c r="F18" s="3" t="n">
        <v>124</v>
      </c>
      <c r="G18" s="2" t="s">
        <v>14</v>
      </c>
      <c r="H18" s="4" t="n">
        <f aca="false">E$14/E18</f>
        <v>1.13055549519522</v>
      </c>
      <c r="I18" s="4" t="n">
        <f aca="false">D$14/D18</f>
        <v>0.0621892074406041</v>
      </c>
    </row>
    <row r="19" customFormat="false" ht="15" hidden="false" customHeight="false" outlineLevel="0" collapsed="false">
      <c r="A19" s="5" t="s">
        <v>13</v>
      </c>
      <c r="B19" s="6" t="n">
        <v>12</v>
      </c>
      <c r="C19" s="7" t="n">
        <v>0.00590167</v>
      </c>
      <c r="D19" s="7" t="n">
        <v>0.00039701</v>
      </c>
      <c r="E19" s="7" t="n">
        <f aca="false">C19+D19</f>
        <v>0.00629868</v>
      </c>
      <c r="F19" s="6" t="n">
        <v>124</v>
      </c>
      <c r="G19" s="5" t="s">
        <v>14</v>
      </c>
      <c r="H19" s="7" t="n">
        <f aca="false">E$14/E19</f>
        <v>1.07382022900036</v>
      </c>
      <c r="I19" s="7" t="n">
        <f aca="false">D$14/D19</f>
        <v>0.0510314601647314</v>
      </c>
    </row>
    <row r="20" customFormat="false" ht="15" hidden="false" customHeight="false" outlineLevel="0" collapsed="false">
      <c r="A20" s="2" t="s">
        <v>15</v>
      </c>
      <c r="B20" s="3" t="n">
        <v>1</v>
      </c>
      <c r="C20" s="4" t="n">
        <v>0.00719018</v>
      </c>
      <c r="D20" s="4" t="n">
        <v>2.585E-005</v>
      </c>
      <c r="E20" s="4" t="n">
        <f aca="false">C20+D20</f>
        <v>0.00721603</v>
      </c>
      <c r="F20" s="3" t="n">
        <v>145</v>
      </c>
      <c r="G20" s="2" t="s">
        <v>16</v>
      </c>
      <c r="H20" s="4" t="n">
        <f aca="false">E$20/E20</f>
        <v>1</v>
      </c>
      <c r="I20" s="4" t="n">
        <f aca="false">D$20/D20</f>
        <v>1</v>
      </c>
    </row>
    <row r="21" customFormat="false" ht="15" hidden="false" customHeight="false" outlineLevel="0" collapsed="false">
      <c r="A21" s="5" t="s">
        <v>15</v>
      </c>
      <c r="B21" s="6" t="n">
        <v>2</v>
      </c>
      <c r="C21" s="7" t="n">
        <v>0.00416675</v>
      </c>
      <c r="D21" s="7" t="n">
        <v>0.00011935</v>
      </c>
      <c r="E21" s="7" t="n">
        <f aca="false">C21+D21</f>
        <v>0.0042861</v>
      </c>
      <c r="F21" s="6" t="n">
        <v>145</v>
      </c>
      <c r="G21" s="5" t="s">
        <v>16</v>
      </c>
      <c r="H21" s="7" t="n">
        <f aca="false">E$20/E21</f>
        <v>1.6835888103404</v>
      </c>
      <c r="I21" s="7" t="n">
        <f aca="false">D$20/D21</f>
        <v>0.216589861751152</v>
      </c>
    </row>
    <row r="22" customFormat="false" ht="15" hidden="false" customHeight="false" outlineLevel="0" collapsed="false">
      <c r="A22" s="2" t="s">
        <v>15</v>
      </c>
      <c r="B22" s="3" t="n">
        <v>4</v>
      </c>
      <c r="C22" s="4" t="n">
        <v>0.00512138</v>
      </c>
      <c r="D22" s="4" t="n">
        <v>0.00017638</v>
      </c>
      <c r="E22" s="4" t="n">
        <f aca="false">C22+D22</f>
        <v>0.00529776</v>
      </c>
      <c r="F22" s="3" t="n">
        <v>145</v>
      </c>
      <c r="G22" s="2" t="s">
        <v>16</v>
      </c>
      <c r="H22" s="4" t="n">
        <f aca="false">E$20/E22</f>
        <v>1.36209077043883</v>
      </c>
      <c r="I22" s="4" t="n">
        <f aca="false">D$20/D22</f>
        <v>0.146558566730922</v>
      </c>
    </row>
    <row r="23" customFormat="false" ht="15" hidden="false" customHeight="false" outlineLevel="0" collapsed="false">
      <c r="A23" s="5" t="s">
        <v>15</v>
      </c>
      <c r="B23" s="6" t="n">
        <v>8</v>
      </c>
      <c r="C23" s="7" t="n">
        <v>0.00583796</v>
      </c>
      <c r="D23" s="7" t="n">
        <v>0.00030289</v>
      </c>
      <c r="E23" s="7" t="n">
        <f aca="false">C23+D23</f>
        <v>0.00614085</v>
      </c>
      <c r="F23" s="6" t="n">
        <v>145</v>
      </c>
      <c r="G23" s="5" t="s">
        <v>16</v>
      </c>
      <c r="H23" s="7" t="n">
        <f aca="false">E$20/E23</f>
        <v>1.17508651082505</v>
      </c>
      <c r="I23" s="7" t="n">
        <f aca="false">D$20/D23</f>
        <v>0.0853445145102182</v>
      </c>
    </row>
    <row r="24" customFormat="false" ht="15" hidden="false" customHeight="false" outlineLevel="0" collapsed="false">
      <c r="A24" s="2" t="s">
        <v>15</v>
      </c>
      <c r="B24" s="3" t="n">
        <v>10</v>
      </c>
      <c r="C24" s="4" t="n">
        <v>0.0056808</v>
      </c>
      <c r="D24" s="4" t="n">
        <v>0.0003232</v>
      </c>
      <c r="E24" s="4" t="n">
        <f aca="false">C24+D24</f>
        <v>0.006004</v>
      </c>
      <c r="F24" s="3" t="n">
        <v>145</v>
      </c>
      <c r="G24" s="2" t="s">
        <v>16</v>
      </c>
      <c r="H24" s="4" t="n">
        <f aca="false">E$20/E24</f>
        <v>1.20187041972019</v>
      </c>
      <c r="I24" s="4" t="n">
        <f aca="false">D$20/D24</f>
        <v>0.0799814356435644</v>
      </c>
    </row>
    <row r="25" customFormat="false" ht="15" hidden="false" customHeight="false" outlineLevel="0" collapsed="false">
      <c r="A25" s="5" t="s">
        <v>15</v>
      </c>
      <c r="B25" s="6" t="n">
        <v>12</v>
      </c>
      <c r="C25" s="7" t="n">
        <v>0.00590639</v>
      </c>
      <c r="D25" s="7" t="n">
        <v>0.00037117</v>
      </c>
      <c r="E25" s="7" t="n">
        <f aca="false">C25+D25</f>
        <v>0.00627756</v>
      </c>
      <c r="F25" s="6" t="n">
        <v>145</v>
      </c>
      <c r="G25" s="5" t="s">
        <v>16</v>
      </c>
      <c r="H25" s="7" t="n">
        <f aca="false">E$20/E25</f>
        <v>1.1494959825155</v>
      </c>
      <c r="I25" s="7" t="n">
        <f aca="false">D$20/D25</f>
        <v>0.0696446372282243</v>
      </c>
    </row>
    <row r="26" customFormat="false" ht="15" hidden="false" customHeight="false" outlineLevel="0" collapsed="false">
      <c r="A26" s="2" t="s">
        <v>17</v>
      </c>
      <c r="B26" s="3" t="n">
        <v>1</v>
      </c>
      <c r="C26" s="4" t="n">
        <v>0.00726891</v>
      </c>
      <c r="D26" s="4" t="n">
        <v>6.089E-005</v>
      </c>
      <c r="E26" s="4" t="n">
        <f aca="false">C26+D26</f>
        <v>0.0073298</v>
      </c>
      <c r="F26" s="3" t="n">
        <v>155</v>
      </c>
      <c r="G26" s="2" t="s">
        <v>18</v>
      </c>
      <c r="H26" s="4" t="n">
        <f aca="false">E$26/E26</f>
        <v>1</v>
      </c>
      <c r="I26" s="4" t="n">
        <f aca="false">D$26/D26</f>
        <v>1</v>
      </c>
    </row>
    <row r="27" customFormat="false" ht="15" hidden="false" customHeight="false" outlineLevel="0" collapsed="false">
      <c r="A27" s="5" t="s">
        <v>17</v>
      </c>
      <c r="B27" s="6" t="n">
        <v>2</v>
      </c>
      <c r="C27" s="7" t="n">
        <v>0.0046051</v>
      </c>
      <c r="D27" s="7" t="n">
        <v>0.00014868</v>
      </c>
      <c r="E27" s="7" t="n">
        <f aca="false">C27+D27</f>
        <v>0.00475378</v>
      </c>
      <c r="F27" s="6" t="n">
        <v>155</v>
      </c>
      <c r="G27" s="5" t="s">
        <v>18</v>
      </c>
      <c r="H27" s="7" t="n">
        <f aca="false">E$26/E27</f>
        <v>1.54188877062043</v>
      </c>
      <c r="I27" s="7" t="n">
        <f aca="false">D$26/D27</f>
        <v>0.409537261232177</v>
      </c>
    </row>
    <row r="28" customFormat="false" ht="15" hidden="false" customHeight="false" outlineLevel="0" collapsed="false">
      <c r="A28" s="2" t="s">
        <v>17</v>
      </c>
      <c r="B28" s="3" t="n">
        <v>4</v>
      </c>
      <c r="C28" s="4" t="n">
        <v>0.00490875</v>
      </c>
      <c r="D28" s="4" t="n">
        <v>0.00024543</v>
      </c>
      <c r="E28" s="4" t="n">
        <f aca="false">C28+D28</f>
        <v>0.00515418</v>
      </c>
      <c r="F28" s="3" t="n">
        <v>155</v>
      </c>
      <c r="G28" s="2" t="s">
        <v>18</v>
      </c>
      <c r="H28" s="4" t="n">
        <f aca="false">E$26/E28</f>
        <v>1.42210788137007</v>
      </c>
      <c r="I28" s="4" t="n">
        <f aca="false">D$26/D28</f>
        <v>0.248095179888359</v>
      </c>
    </row>
    <row r="29" customFormat="false" ht="15" hidden="false" customHeight="false" outlineLevel="0" collapsed="false">
      <c r="A29" s="5" t="s">
        <v>17</v>
      </c>
      <c r="B29" s="6" t="n">
        <v>8</v>
      </c>
      <c r="C29" s="7" t="n">
        <v>0.00575104</v>
      </c>
      <c r="D29" s="7" t="n">
        <v>0.00030694</v>
      </c>
      <c r="E29" s="7" t="n">
        <f aca="false">C29+D29</f>
        <v>0.00605798</v>
      </c>
      <c r="F29" s="6" t="n">
        <v>155</v>
      </c>
      <c r="G29" s="5" t="s">
        <v>18</v>
      </c>
      <c r="H29" s="7" t="n">
        <f aca="false">E$26/E29</f>
        <v>1.20994126755123</v>
      </c>
      <c r="I29" s="7" t="n">
        <f aca="false">D$26/D29</f>
        <v>0.198377533068352</v>
      </c>
    </row>
    <row r="30" customFormat="false" ht="15" hidden="false" customHeight="false" outlineLevel="0" collapsed="false">
      <c r="A30" s="2" t="s">
        <v>17</v>
      </c>
      <c r="B30" s="3" t="n">
        <v>10</v>
      </c>
      <c r="C30" s="4" t="n">
        <v>0.00483022</v>
      </c>
      <c r="D30" s="4" t="n">
        <v>0.00040526</v>
      </c>
      <c r="E30" s="4" t="n">
        <f aca="false">C30+D30</f>
        <v>0.00523548</v>
      </c>
      <c r="F30" s="3" t="n">
        <v>155</v>
      </c>
      <c r="G30" s="2" t="s">
        <v>18</v>
      </c>
      <c r="H30" s="4" t="n">
        <f aca="false">E$26/E30</f>
        <v>1.40002444857014</v>
      </c>
      <c r="I30" s="4" t="n">
        <f aca="false">D$26/D30</f>
        <v>0.150249222721216</v>
      </c>
    </row>
    <row r="31" customFormat="false" ht="15" hidden="false" customHeight="false" outlineLevel="0" collapsed="false">
      <c r="A31" s="5" t="s">
        <v>17</v>
      </c>
      <c r="B31" s="6" t="n">
        <v>12</v>
      </c>
      <c r="C31" s="7" t="n">
        <v>0.00548014</v>
      </c>
      <c r="D31" s="7" t="n">
        <v>0.00037785</v>
      </c>
      <c r="E31" s="7" t="n">
        <f aca="false">C31+D31</f>
        <v>0.00585799</v>
      </c>
      <c r="F31" s="6" t="n">
        <v>155</v>
      </c>
      <c r="G31" s="5" t="s">
        <v>18</v>
      </c>
      <c r="H31" s="7" t="n">
        <f aca="false">E$26/E31</f>
        <v>1.25124829506367</v>
      </c>
      <c r="I31" s="7" t="n">
        <f aca="false">D$26/D31</f>
        <v>0.161148603943364</v>
      </c>
    </row>
    <row r="32" customFormat="false" ht="15" hidden="false" customHeight="false" outlineLevel="0" collapsed="false">
      <c r="A32" s="2" t="s">
        <v>19</v>
      </c>
      <c r="B32" s="3" t="n">
        <v>1</v>
      </c>
      <c r="C32" s="4" t="n">
        <v>0.00743627</v>
      </c>
      <c r="D32" s="4" t="n">
        <v>0.0001986</v>
      </c>
      <c r="E32" s="4" t="n">
        <f aca="false">C32+D32</f>
        <v>0.00763487</v>
      </c>
      <c r="F32" s="3" t="n">
        <v>171</v>
      </c>
      <c r="G32" s="2" t="s">
        <v>20</v>
      </c>
      <c r="H32" s="4" t="n">
        <f aca="false">E$32/E32</f>
        <v>1</v>
      </c>
      <c r="I32" s="4" t="n">
        <f aca="false">D$32/D32</f>
        <v>1</v>
      </c>
    </row>
    <row r="33" customFormat="false" ht="15" hidden="false" customHeight="false" outlineLevel="0" collapsed="false">
      <c r="A33" s="5" t="s">
        <v>19</v>
      </c>
      <c r="B33" s="6" t="n">
        <v>2</v>
      </c>
      <c r="C33" s="7" t="n">
        <v>0.00432506</v>
      </c>
      <c r="D33" s="7" t="n">
        <v>0.00022116</v>
      </c>
      <c r="E33" s="7" t="n">
        <f aca="false">C33+D33</f>
        <v>0.00454622</v>
      </c>
      <c r="F33" s="6" t="n">
        <v>171</v>
      </c>
      <c r="G33" s="5" t="s">
        <v>20</v>
      </c>
      <c r="H33" s="7" t="n">
        <f aca="false">E$32/E33</f>
        <v>1.67938859096128</v>
      </c>
      <c r="I33" s="7" t="n">
        <f aca="false">D$32/D33</f>
        <v>0.897992403689637</v>
      </c>
    </row>
    <row r="34" customFormat="false" ht="15" hidden="false" customHeight="false" outlineLevel="0" collapsed="false">
      <c r="A34" s="2" t="s">
        <v>19</v>
      </c>
      <c r="B34" s="3" t="n">
        <v>4</v>
      </c>
      <c r="C34" s="4" t="n">
        <v>0.00494308</v>
      </c>
      <c r="D34" s="4" t="n">
        <v>0.00032472</v>
      </c>
      <c r="E34" s="4" t="n">
        <f aca="false">C34+D34</f>
        <v>0.0052678</v>
      </c>
      <c r="F34" s="3" t="n">
        <v>171</v>
      </c>
      <c r="G34" s="2" t="s">
        <v>20</v>
      </c>
      <c r="H34" s="4" t="n">
        <f aca="false">E$32/E34</f>
        <v>1.4493469759672</v>
      </c>
      <c r="I34" s="4" t="n">
        <f aca="false">D$32/D34</f>
        <v>0.61160384331116</v>
      </c>
    </row>
    <row r="35" customFormat="false" ht="15" hidden="false" customHeight="false" outlineLevel="0" collapsed="false">
      <c r="A35" s="5" t="s">
        <v>19</v>
      </c>
      <c r="B35" s="6" t="n">
        <v>8</v>
      </c>
      <c r="C35" s="7" t="n">
        <v>0.00608006</v>
      </c>
      <c r="D35" s="7" t="n">
        <v>0.00040998</v>
      </c>
      <c r="E35" s="7" t="n">
        <f aca="false">C35+D35</f>
        <v>0.00649004</v>
      </c>
      <c r="F35" s="6" t="n">
        <v>171</v>
      </c>
      <c r="G35" s="5" t="s">
        <v>20</v>
      </c>
      <c r="H35" s="7" t="n">
        <f aca="false">E$32/E35</f>
        <v>1.17639798830208</v>
      </c>
      <c r="I35" s="7" t="n">
        <f aca="false">D$32/D35</f>
        <v>0.484413873847505</v>
      </c>
    </row>
    <row r="36" customFormat="false" ht="15" hidden="false" customHeight="false" outlineLevel="0" collapsed="false">
      <c r="A36" s="2" t="s">
        <v>19</v>
      </c>
      <c r="B36" s="3" t="n">
        <v>10</v>
      </c>
      <c r="C36" s="4" t="n">
        <v>0.00576425</v>
      </c>
      <c r="D36" s="4" t="n">
        <v>0.00040917</v>
      </c>
      <c r="E36" s="4" t="n">
        <f aca="false">C36+D36</f>
        <v>0.00617342</v>
      </c>
      <c r="F36" s="3" t="n">
        <v>171</v>
      </c>
      <c r="G36" s="2" t="s">
        <v>20</v>
      </c>
      <c r="H36" s="4" t="n">
        <f aca="false">E$32/E36</f>
        <v>1.23673263766275</v>
      </c>
      <c r="I36" s="4" t="n">
        <f aca="false">D$32/D36</f>
        <v>0.485372827919936</v>
      </c>
    </row>
    <row r="37" customFormat="false" ht="15" hidden="false" customHeight="false" outlineLevel="0" collapsed="false">
      <c r="A37" s="5" t="s">
        <v>19</v>
      </c>
      <c r="B37" s="6" t="n">
        <v>12</v>
      </c>
      <c r="C37" s="7" t="n">
        <v>0.00517163</v>
      </c>
      <c r="D37" s="7" t="n">
        <v>0.00047245</v>
      </c>
      <c r="E37" s="7" t="n">
        <f aca="false">C37+D37</f>
        <v>0.00564408</v>
      </c>
      <c r="F37" s="6" t="n">
        <v>171</v>
      </c>
      <c r="G37" s="5" t="s">
        <v>20</v>
      </c>
      <c r="H37" s="7" t="n">
        <f aca="false">E$32/E37</f>
        <v>1.35272178991084</v>
      </c>
      <c r="I37" s="7" t="n">
        <f aca="false">D$32/D37</f>
        <v>0.420361943062758</v>
      </c>
    </row>
    <row r="38" customFormat="false" ht="15" hidden="false" customHeight="false" outlineLevel="0" collapsed="false">
      <c r="A38" s="2" t="s">
        <v>21</v>
      </c>
      <c r="B38" s="3" t="n">
        <v>1</v>
      </c>
      <c r="C38" s="4" t="n">
        <v>0.00653758</v>
      </c>
      <c r="D38" s="4" t="n">
        <v>0.00110979</v>
      </c>
      <c r="E38" s="4" t="n">
        <f aca="false">C38+D38</f>
        <v>0.00764737</v>
      </c>
      <c r="F38" s="3" t="n">
        <v>207</v>
      </c>
      <c r="G38" s="2" t="s">
        <v>22</v>
      </c>
      <c r="H38" s="4" t="n">
        <f aca="false">E$38/E38</f>
        <v>1</v>
      </c>
      <c r="I38" s="4" t="n">
        <f aca="false">D$38/D38</f>
        <v>1</v>
      </c>
    </row>
    <row r="39" customFormat="false" ht="15" hidden="false" customHeight="false" outlineLevel="0" collapsed="false">
      <c r="A39" s="5" t="s">
        <v>21</v>
      </c>
      <c r="B39" s="6" t="n">
        <v>2</v>
      </c>
      <c r="C39" s="7" t="n">
        <v>0.00515466</v>
      </c>
      <c r="D39" s="7" t="n">
        <v>0.00074916</v>
      </c>
      <c r="E39" s="7" t="n">
        <f aca="false">C39+D39</f>
        <v>0.00590382</v>
      </c>
      <c r="F39" s="6" t="n">
        <v>207</v>
      </c>
      <c r="G39" s="5" t="s">
        <v>22</v>
      </c>
      <c r="H39" s="7" t="n">
        <f aca="false">E$38/E39</f>
        <v>1.29532573825083</v>
      </c>
      <c r="I39" s="7" t="n">
        <f aca="false">D$38/D39</f>
        <v>1.481379144642</v>
      </c>
    </row>
    <row r="40" customFormat="false" ht="15" hidden="false" customHeight="false" outlineLevel="0" collapsed="false">
      <c r="A40" s="2" t="s">
        <v>21</v>
      </c>
      <c r="B40" s="3" t="n">
        <v>4</v>
      </c>
      <c r="C40" s="4" t="n">
        <v>0.00482583</v>
      </c>
      <c r="D40" s="4" t="n">
        <v>0.00057464</v>
      </c>
      <c r="E40" s="4" t="n">
        <f aca="false">C40+D40</f>
        <v>0.00540047</v>
      </c>
      <c r="F40" s="3" t="n">
        <v>207</v>
      </c>
      <c r="G40" s="2" t="s">
        <v>22</v>
      </c>
      <c r="H40" s="4" t="n">
        <f aca="false">E$38/E40</f>
        <v>1.41605638027801</v>
      </c>
      <c r="I40" s="4" t="n">
        <f aca="false">D$38/D40</f>
        <v>1.9312787136294</v>
      </c>
    </row>
    <row r="41" customFormat="false" ht="15" hidden="false" customHeight="false" outlineLevel="0" collapsed="false">
      <c r="A41" s="5" t="s">
        <v>21</v>
      </c>
      <c r="B41" s="6" t="n">
        <v>8</v>
      </c>
      <c r="C41" s="7" t="n">
        <v>0.00591955</v>
      </c>
      <c r="D41" s="7" t="n">
        <v>0.00054851</v>
      </c>
      <c r="E41" s="7" t="n">
        <f aca="false">C41+D41</f>
        <v>0.00646806</v>
      </c>
      <c r="F41" s="6" t="n">
        <v>207</v>
      </c>
      <c r="G41" s="5" t="s">
        <v>22</v>
      </c>
      <c r="H41" s="7" t="n">
        <f aca="false">E$38/E41</f>
        <v>1.1823282406162</v>
      </c>
      <c r="I41" s="7" t="n">
        <f aca="false">D$38/D41</f>
        <v>2.02328125284863</v>
      </c>
    </row>
    <row r="42" customFormat="false" ht="15" hidden="false" customHeight="false" outlineLevel="0" collapsed="false">
      <c r="A42" s="2" t="s">
        <v>21</v>
      </c>
      <c r="B42" s="3" t="n">
        <v>10</v>
      </c>
      <c r="C42" s="4" t="n">
        <v>0.00522099</v>
      </c>
      <c r="D42" s="4" t="n">
        <v>0.00057001</v>
      </c>
      <c r="E42" s="4" t="n">
        <f aca="false">C42+D42</f>
        <v>0.005791</v>
      </c>
      <c r="F42" s="3" t="n">
        <v>207</v>
      </c>
      <c r="G42" s="2" t="s">
        <v>22</v>
      </c>
      <c r="H42" s="4" t="n">
        <f aca="false">E$38/E42</f>
        <v>1.3205612156795</v>
      </c>
      <c r="I42" s="4" t="n">
        <f aca="false">D$38/D42</f>
        <v>1.94696584270451</v>
      </c>
    </row>
    <row r="43" customFormat="false" ht="15" hidden="false" customHeight="false" outlineLevel="0" collapsed="false">
      <c r="A43" s="5" t="s">
        <v>21</v>
      </c>
      <c r="B43" s="6" t="n">
        <v>12</v>
      </c>
      <c r="C43" s="7" t="n">
        <v>0.0052548</v>
      </c>
      <c r="D43" s="7" t="n">
        <v>0.00061283</v>
      </c>
      <c r="E43" s="7" t="n">
        <f aca="false">C43+D43</f>
        <v>0.00586763</v>
      </c>
      <c r="F43" s="6" t="n">
        <v>207</v>
      </c>
      <c r="G43" s="5" t="s">
        <v>22</v>
      </c>
      <c r="H43" s="7" t="n">
        <f aca="false">E$38/E43</f>
        <v>1.30331496703098</v>
      </c>
      <c r="I43" s="7" t="n">
        <f aca="false">D$38/D43</f>
        <v>1.81092635804383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2026-04-06T18:00:09Z</dcterms:created>
  <dc:creator>openpyxl</dc:creator>
  <dc:description/>
  <dc:language>en-US</dc:language>
  <cp:lastModifiedBy/>
  <dcterms:modified xsi:type="dcterms:W3CDTF">2026-04-06T18:00:09Z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